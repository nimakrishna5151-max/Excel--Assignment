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mily\Downloads\"/>
    </mc:Choice>
  </mc:AlternateContent>
  <xr:revisionPtr revIDLastSave="0" documentId="13_ncr:1_{B106C876-DCDD-49A1-B004-10AB346820A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nstructions" sheetId="1" r:id="rId1"/>
    <sheet name="Data set" sheetId="3" r:id="rId2"/>
    <sheet name="Dataset Solu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2" i="2"/>
</calcChain>
</file>

<file path=xl/sharedStrings.xml><?xml version="1.0" encoding="utf-8"?>
<sst xmlns="http://schemas.openxmlformats.org/spreadsheetml/2006/main" count="291" uniqueCount="153">
  <si>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</si>
  <si>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</si>
  <si>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</si>
  <si>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</si>
  <si>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</si>
  <si>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</si>
  <si>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</si>
  <si>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</si>
  <si>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</si>
  <si>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</si>
  <si>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</si>
  <si>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</si>
  <si>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</si>
  <si>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</si>
  <si>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</si>
  <si>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</si>
  <si>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</si>
  <si>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</si>
  <si>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</si>
  <si>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</si>
  <si>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</si>
  <si>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</si>
  <si>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</si>
  <si>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</si>
  <si>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</si>
  <si>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</si>
  <si>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</si>
  <si>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</si>
  <si>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</si>
  <si>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</si>
  <si>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</si>
  <si>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</si>
  <si>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</si>
  <si>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</si>
  <si>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</si>
  <si>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</si>
  <si>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</si>
  <si>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</si>
  <si>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</si>
  <si>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</si>
  <si>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</si>
  <si>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</si>
  <si>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</si>
  <si>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</si>
  <si>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</si>
  <si>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</si>
  <si>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</si>
  <si>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</si>
  <si>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</si>
  <si>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</si>
  <si>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</si>
  <si>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</si>
  <si>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</si>
  <si>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</si>
  <si>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</si>
  <si>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</si>
  <si>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</si>
  <si>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</si>
  <si>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</si>
  <si>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</si>
  <si>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</si>
  <si>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</si>
  <si>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</si>
  <si>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</si>
  <si>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</si>
  <si>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</si>
  <si>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</si>
  <si>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</si>
  <si>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</si>
  <si>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</si>
  <si>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</si>
  <si>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</si>
  <si>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</si>
  <si>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</si>
  <si>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</si>
  <si>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</si>
  <si>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</si>
  <si>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</si>
  <si>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</si>
  <si>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</si>
  <si>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</si>
  <si>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</si>
  <si>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</si>
  <si>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</si>
  <si>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</si>
  <si>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</si>
  <si>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</si>
  <si>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</si>
  <si>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</si>
  <si>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</si>
  <si>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</si>
  <si>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</si>
  <si>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</si>
  <si>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</si>
  <si>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</si>
  <si>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</si>
  <si>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</si>
  <si>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</si>
  <si>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</si>
  <si>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</si>
  <si>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</si>
  <si>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</si>
  <si>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</si>
  <si>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</si>
  <si>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</si>
  <si>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</si>
  <si>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</si>
  <si>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</si>
  <si>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</si>
  <si>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</si>
  <si>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</si>
  <si>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</si>
  <si>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</si>
  <si>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</si>
  <si>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</si>
  <si>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median</t>
  </si>
  <si>
    <t xml:space="preserve">Price </t>
  </si>
  <si>
    <t>Unknown</t>
  </si>
  <si>
    <t>Manufacturing date</t>
  </si>
  <si>
    <t>Country code</t>
  </si>
  <si>
    <t xml:space="preserve">Product Brand </t>
  </si>
  <si>
    <t>28-JAN-2000-US</t>
  </si>
  <si>
    <t>15-FEB-2026-US</t>
  </si>
  <si>
    <t>03-MAR-2025-US</t>
  </si>
  <si>
    <t>11-APR-2000-US</t>
  </si>
  <si>
    <t>22-MAY-1999-US</t>
  </si>
  <si>
    <t>07-JUN-2000-UK</t>
  </si>
  <si>
    <t>19-JUL-2000-UK</t>
  </si>
  <si>
    <t>23-AUG-2000-UK</t>
  </si>
  <si>
    <t>05-SEP-2000-UK</t>
  </si>
  <si>
    <t>14-OCT-2000-UK</t>
  </si>
  <si>
    <t>17-JUN-2000-IN</t>
  </si>
  <si>
    <t>25-NOV-2000-AU</t>
  </si>
  <si>
    <t>08-DEC-2000-DE</t>
  </si>
  <si>
    <t>18-FEB-2000-CA</t>
  </si>
  <si>
    <t>16-APR-2000-ES</t>
  </si>
  <si>
    <t>21-AUG-2000-CA</t>
  </si>
  <si>
    <t>20-AUG-2000-CN</t>
  </si>
  <si>
    <t>27-JAN-2000-IT</t>
  </si>
  <si>
    <t>01-MAR-2000-UK</t>
  </si>
  <si>
    <t>14-AUG-2000-US</t>
  </si>
  <si>
    <t>14-MAY-2000-RU</t>
  </si>
  <si>
    <t>09-JAN-2000-CA</t>
  </si>
  <si>
    <t>19-JUL-2000-BR</t>
  </si>
  <si>
    <t>29-SEP-2000-CA</t>
  </si>
  <si>
    <t>03-JUN-2000-CA</t>
  </si>
  <si>
    <t>11-JUL-2026-CA</t>
  </si>
  <si>
    <t>07-MAR-2013-CA</t>
  </si>
  <si>
    <t>13-APR-2025-CA</t>
  </si>
  <si>
    <t>24-MAY-2019-CA</t>
  </si>
  <si>
    <t>02-DEC-2015-CA</t>
  </si>
  <si>
    <t>09-JUL-2030-FR</t>
  </si>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</sst>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0070C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0" xfId="0" applyFont="1" applyFill="1" applyAlignment="1">
      <alignment horizontal="center"/>
    </xf>
    <xf numFmtId="164" fontId="0" fillId="0" borderId="0" xfId="0" applyNumberFormat="1"/>
    <xf numFmtId="0" fontId="7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0" fontId="0" fillId="0" borderId="1" xfId="0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9" fillId="0" borderId="0" xfId="0" applyFont="1"/>
    <xf numFmtId="0" fontId="9" fillId="3" borderId="0" xfId="0" applyFont="1" applyFill="1"/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5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H16" sqref="H1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80A1-D4BE-4F11-A4AD-D3184A9ADE58}">
  <dimension ref="A1:F35"/>
  <sheetViews>
    <sheetView workbookViewId="0">
      <selection activeCell="I25" sqref="I25"/>
    </sheetView>
  </sheetViews>
  <sheetFormatPr defaultRowHeight="13.2" x14ac:dyDescent="0.25"/>
  <cols>
    <col min="6" max="6" width="15.21875" customWidth="1"/>
  </cols>
  <sheetData>
    <row r="1" spans="1:6" x14ac:dyDescent="0.25">
      <c r="A1" s="7" t="s">
        <v>19</v>
      </c>
      <c r="B1" s="7" t="s">
        <v>20</v>
      </c>
      <c r="C1" s="7" t="s">
        <v>21</v>
      </c>
      <c r="D1" s="7" t="s">
        <v>152</v>
      </c>
      <c r="E1" s="7" t="s">
        <v>22</v>
      </c>
      <c r="F1" s="7" t="s">
        <v>23</v>
      </c>
    </row>
    <row r="2" spans="1:6" x14ac:dyDescent="0.25">
      <c r="A2" s="16" t="s">
        <v>24</v>
      </c>
      <c r="B2" s="16" t="s">
        <v>25</v>
      </c>
      <c r="C2" s="16" t="s">
        <v>26</v>
      </c>
      <c r="D2" s="16">
        <v>1000</v>
      </c>
      <c r="E2" s="16">
        <v>30</v>
      </c>
      <c r="F2" s="16" t="s">
        <v>27</v>
      </c>
    </row>
    <row r="3" spans="1:6" x14ac:dyDescent="0.25">
      <c r="A3" s="17" t="s">
        <v>28</v>
      </c>
      <c r="B3" s="17" t="s">
        <v>29</v>
      </c>
      <c r="C3" s="17" t="s">
        <v>30</v>
      </c>
      <c r="D3" s="17">
        <v>80</v>
      </c>
      <c r="E3" s="17">
        <v>15</v>
      </c>
      <c r="F3" s="17" t="s">
        <v>31</v>
      </c>
    </row>
    <row r="4" spans="1:6" x14ac:dyDescent="0.25">
      <c r="A4" s="16" t="s">
        <v>32</v>
      </c>
      <c r="B4" s="16" t="s">
        <v>33</v>
      </c>
      <c r="C4" s="16" t="s">
        <v>34</v>
      </c>
      <c r="D4" s="16">
        <v>130</v>
      </c>
      <c r="E4" s="16">
        <v>40</v>
      </c>
      <c r="F4" s="16" t="s">
        <v>35</v>
      </c>
    </row>
    <row r="5" spans="1:6" x14ac:dyDescent="0.25">
      <c r="A5" s="17" t="s">
        <v>36</v>
      </c>
      <c r="B5" s="17" t="s">
        <v>37</v>
      </c>
      <c r="C5" s="17" t="s">
        <v>38</v>
      </c>
      <c r="D5" s="17">
        <v>900</v>
      </c>
      <c r="E5" s="17">
        <v>25</v>
      </c>
      <c r="F5" s="17" t="s">
        <v>27</v>
      </c>
    </row>
    <row r="6" spans="1:6" x14ac:dyDescent="0.25">
      <c r="A6" s="16" t="s">
        <v>39</v>
      </c>
      <c r="B6" s="16" t="s">
        <v>40</v>
      </c>
      <c r="C6" s="16" t="s">
        <v>41</v>
      </c>
      <c r="D6" s="16">
        <v>70</v>
      </c>
      <c r="E6" s="16">
        <v>20</v>
      </c>
      <c r="F6" s="16"/>
    </row>
    <row r="7" spans="1:6" x14ac:dyDescent="0.25">
      <c r="A7" s="17" t="s">
        <v>42</v>
      </c>
      <c r="B7" s="17" t="s">
        <v>43</v>
      </c>
      <c r="C7" s="17" t="s">
        <v>44</v>
      </c>
      <c r="D7" s="17"/>
      <c r="E7" s="17">
        <v>45</v>
      </c>
      <c r="F7" s="17" t="s">
        <v>45</v>
      </c>
    </row>
    <row r="8" spans="1:6" x14ac:dyDescent="0.25">
      <c r="A8" s="16" t="s">
        <v>46</v>
      </c>
      <c r="B8" s="16" t="s">
        <v>47</v>
      </c>
      <c r="C8" s="16" t="s">
        <v>48</v>
      </c>
      <c r="D8" s="16">
        <v>30</v>
      </c>
      <c r="E8" s="16">
        <v>5</v>
      </c>
      <c r="F8" s="16" t="s">
        <v>31</v>
      </c>
    </row>
    <row r="9" spans="1:6" x14ac:dyDescent="0.25">
      <c r="A9" s="17" t="s">
        <v>49</v>
      </c>
      <c r="B9" s="17" t="s">
        <v>50</v>
      </c>
      <c r="C9" s="17" t="s">
        <v>51</v>
      </c>
      <c r="D9" s="17">
        <v>90</v>
      </c>
      <c r="E9" s="17">
        <v>35</v>
      </c>
      <c r="F9" s="17" t="s">
        <v>35</v>
      </c>
    </row>
    <row r="10" spans="1:6" x14ac:dyDescent="0.25">
      <c r="A10" s="16" t="s">
        <v>52</v>
      </c>
      <c r="B10" s="16" t="s">
        <v>53</v>
      </c>
      <c r="C10" s="16" t="s">
        <v>54</v>
      </c>
      <c r="D10" s="16">
        <v>500</v>
      </c>
      <c r="E10" s="16">
        <v>50</v>
      </c>
      <c r="F10" s="16" t="s">
        <v>27</v>
      </c>
    </row>
    <row r="11" spans="1:6" x14ac:dyDescent="0.25">
      <c r="A11" s="17" t="s">
        <v>55</v>
      </c>
      <c r="B11" s="17" t="s">
        <v>56</v>
      </c>
      <c r="C11" s="17" t="s">
        <v>57</v>
      </c>
      <c r="D11" s="17">
        <v>130</v>
      </c>
      <c r="E11" s="17">
        <v>10</v>
      </c>
      <c r="F11" s="17" t="s">
        <v>58</v>
      </c>
    </row>
    <row r="12" spans="1:6" x14ac:dyDescent="0.25">
      <c r="A12" s="16" t="s">
        <v>59</v>
      </c>
      <c r="B12" s="16" t="s">
        <v>60</v>
      </c>
      <c r="C12" s="16" t="s">
        <v>61</v>
      </c>
      <c r="D12" s="16">
        <v>950</v>
      </c>
      <c r="E12" s="16">
        <v>25</v>
      </c>
      <c r="F12" s="16" t="s">
        <v>27</v>
      </c>
    </row>
    <row r="13" spans="1:6" x14ac:dyDescent="0.25">
      <c r="A13" s="17" t="s">
        <v>62</v>
      </c>
      <c r="B13" s="17" t="s">
        <v>29</v>
      </c>
      <c r="C13" s="17" t="s">
        <v>48</v>
      </c>
      <c r="D13" s="17">
        <v>90</v>
      </c>
      <c r="E13" s="17">
        <v>40</v>
      </c>
      <c r="F13" s="17"/>
    </row>
    <row r="14" spans="1:6" x14ac:dyDescent="0.25">
      <c r="A14" s="16" t="s">
        <v>63</v>
      </c>
      <c r="B14" s="16" t="s">
        <v>33</v>
      </c>
      <c r="C14" s="16" t="s">
        <v>64</v>
      </c>
      <c r="D14" s="16">
        <v>120</v>
      </c>
      <c r="E14" s="16">
        <v>35</v>
      </c>
      <c r="F14" s="16"/>
    </row>
    <row r="15" spans="1:6" x14ac:dyDescent="0.25">
      <c r="A15" s="17" t="s">
        <v>65</v>
      </c>
      <c r="B15" s="17" t="s">
        <v>66</v>
      </c>
      <c r="C15" s="17" t="s">
        <v>67</v>
      </c>
      <c r="D15" s="17">
        <v>150</v>
      </c>
      <c r="E15" s="17">
        <v>15</v>
      </c>
      <c r="F15" s="17" t="s">
        <v>45</v>
      </c>
    </row>
    <row r="16" spans="1:6" x14ac:dyDescent="0.25">
      <c r="A16" s="16" t="s">
        <v>68</v>
      </c>
      <c r="B16" s="16" t="s">
        <v>69</v>
      </c>
      <c r="C16" s="16" t="s">
        <v>70</v>
      </c>
      <c r="D16" s="16">
        <v>250</v>
      </c>
      <c r="E16" s="16">
        <v>20</v>
      </c>
      <c r="F16" s="16" t="s">
        <v>45</v>
      </c>
    </row>
    <row r="17" spans="1:6" x14ac:dyDescent="0.25">
      <c r="A17" s="17" t="s">
        <v>71</v>
      </c>
      <c r="B17" s="17" t="s">
        <v>72</v>
      </c>
      <c r="C17" s="17" t="s">
        <v>73</v>
      </c>
      <c r="D17" s="17">
        <v>50</v>
      </c>
      <c r="E17" s="17">
        <v>35</v>
      </c>
      <c r="F17" s="17" t="s">
        <v>74</v>
      </c>
    </row>
    <row r="18" spans="1:6" x14ac:dyDescent="0.25">
      <c r="A18" s="16" t="s">
        <v>75</v>
      </c>
      <c r="B18" s="16" t="s">
        <v>66</v>
      </c>
      <c r="C18" s="16" t="s">
        <v>76</v>
      </c>
      <c r="D18" s="16">
        <v>160</v>
      </c>
      <c r="E18" s="16">
        <v>15</v>
      </c>
      <c r="F18" s="16" t="s">
        <v>45</v>
      </c>
    </row>
    <row r="19" spans="1:6" x14ac:dyDescent="0.25">
      <c r="A19" s="17" t="s">
        <v>77</v>
      </c>
      <c r="B19" s="17" t="s">
        <v>25</v>
      </c>
      <c r="C19" s="17" t="s">
        <v>78</v>
      </c>
      <c r="D19" s="17">
        <v>980</v>
      </c>
      <c r="E19" s="17">
        <v>10</v>
      </c>
      <c r="F19" s="17" t="s">
        <v>27</v>
      </c>
    </row>
    <row r="20" spans="1:6" x14ac:dyDescent="0.25">
      <c r="A20" s="16" t="s">
        <v>79</v>
      </c>
      <c r="B20" s="16" t="s">
        <v>80</v>
      </c>
      <c r="C20" s="16" t="s">
        <v>81</v>
      </c>
      <c r="D20" s="16">
        <v>150</v>
      </c>
      <c r="E20" s="16">
        <v>15</v>
      </c>
      <c r="F20" s="16" t="s">
        <v>31</v>
      </c>
    </row>
    <row r="21" spans="1:6" x14ac:dyDescent="0.25">
      <c r="A21" s="17" t="s">
        <v>82</v>
      </c>
      <c r="B21" s="17" t="s">
        <v>83</v>
      </c>
      <c r="C21" s="17" t="s">
        <v>84</v>
      </c>
      <c r="D21" s="17"/>
      <c r="E21" s="17">
        <v>10</v>
      </c>
      <c r="F21" s="17" t="s">
        <v>58</v>
      </c>
    </row>
    <row r="22" spans="1:6" x14ac:dyDescent="0.25">
      <c r="A22" s="16" t="s">
        <v>85</v>
      </c>
      <c r="B22" s="16" t="s">
        <v>86</v>
      </c>
      <c r="C22" s="16" t="s">
        <v>87</v>
      </c>
      <c r="D22" s="16">
        <v>700</v>
      </c>
      <c r="E22" s="16">
        <v>50</v>
      </c>
      <c r="F22" s="16" t="s">
        <v>27</v>
      </c>
    </row>
    <row r="23" spans="1:6" x14ac:dyDescent="0.25">
      <c r="A23" s="17" t="s">
        <v>88</v>
      </c>
      <c r="B23" s="17" t="s">
        <v>89</v>
      </c>
      <c r="C23" s="17" t="s">
        <v>90</v>
      </c>
      <c r="D23" s="17">
        <v>80</v>
      </c>
      <c r="E23" s="17">
        <v>20</v>
      </c>
      <c r="F23" s="17" t="s">
        <v>35</v>
      </c>
    </row>
    <row r="24" spans="1:6" x14ac:dyDescent="0.25">
      <c r="A24" s="16" t="s">
        <v>91</v>
      </c>
      <c r="B24" s="16" t="s">
        <v>92</v>
      </c>
      <c r="C24" s="16" t="s">
        <v>93</v>
      </c>
      <c r="D24" s="16">
        <v>150</v>
      </c>
      <c r="E24" s="16">
        <v>30</v>
      </c>
      <c r="F24" s="16"/>
    </row>
    <row r="25" spans="1:6" x14ac:dyDescent="0.25">
      <c r="A25" s="17" t="s">
        <v>71</v>
      </c>
      <c r="B25" s="17" t="s">
        <v>72</v>
      </c>
      <c r="C25" s="17" t="s">
        <v>73</v>
      </c>
      <c r="D25" s="17">
        <v>50</v>
      </c>
      <c r="E25" s="17">
        <v>35</v>
      </c>
      <c r="F25" s="17" t="s">
        <v>74</v>
      </c>
    </row>
    <row r="26" spans="1:6" x14ac:dyDescent="0.25">
      <c r="A26" s="16" t="s">
        <v>94</v>
      </c>
      <c r="B26" s="16" t="s">
        <v>95</v>
      </c>
      <c r="C26" s="16" t="s">
        <v>96</v>
      </c>
      <c r="D26" s="16">
        <v>800</v>
      </c>
      <c r="E26" s="16">
        <v>45</v>
      </c>
      <c r="F26" s="16" t="s">
        <v>27</v>
      </c>
    </row>
    <row r="27" spans="1:6" x14ac:dyDescent="0.25">
      <c r="A27" s="17" t="s">
        <v>97</v>
      </c>
      <c r="B27" s="17" t="s">
        <v>80</v>
      </c>
      <c r="C27" s="17" t="s">
        <v>98</v>
      </c>
      <c r="D27" s="17"/>
      <c r="E27" s="17">
        <v>25</v>
      </c>
      <c r="F27" s="17" t="s">
        <v>31</v>
      </c>
    </row>
    <row r="28" spans="1:6" x14ac:dyDescent="0.25">
      <c r="A28" s="16" t="s">
        <v>99</v>
      </c>
      <c r="B28" s="16" t="s">
        <v>50</v>
      </c>
      <c r="C28" s="16" t="s">
        <v>100</v>
      </c>
      <c r="D28" s="16">
        <v>400</v>
      </c>
      <c r="E28" s="16">
        <v>40</v>
      </c>
      <c r="F28" s="16" t="s">
        <v>35</v>
      </c>
    </row>
    <row r="29" spans="1:6" x14ac:dyDescent="0.25">
      <c r="A29" s="17" t="s">
        <v>68</v>
      </c>
      <c r="B29" s="17" t="s">
        <v>69</v>
      </c>
      <c r="C29" s="17" t="s">
        <v>70</v>
      </c>
      <c r="D29" s="17">
        <v>250</v>
      </c>
      <c r="E29" s="17">
        <v>20</v>
      </c>
      <c r="F29" s="17" t="s">
        <v>45</v>
      </c>
    </row>
    <row r="30" spans="1:6" x14ac:dyDescent="0.25">
      <c r="A30" s="16" t="s">
        <v>101</v>
      </c>
      <c r="B30" s="16" t="s">
        <v>102</v>
      </c>
      <c r="C30" s="16" t="s">
        <v>103</v>
      </c>
      <c r="D30" s="16">
        <v>60</v>
      </c>
      <c r="E30" s="16">
        <v>30</v>
      </c>
      <c r="F30" s="16" t="s">
        <v>31</v>
      </c>
    </row>
    <row r="31" spans="1:6" x14ac:dyDescent="0.25">
      <c r="A31" s="17" t="s">
        <v>104</v>
      </c>
      <c r="B31" s="17" t="s">
        <v>105</v>
      </c>
      <c r="C31" s="17" t="s">
        <v>106</v>
      </c>
      <c r="D31" s="17">
        <v>40</v>
      </c>
      <c r="E31" s="17">
        <v>10</v>
      </c>
      <c r="F31" s="17" t="s">
        <v>35</v>
      </c>
    </row>
    <row r="32" spans="1:6" x14ac:dyDescent="0.25">
      <c r="A32" s="16" t="s">
        <v>107</v>
      </c>
      <c r="B32" s="16" t="s">
        <v>92</v>
      </c>
      <c r="C32" s="16" t="s">
        <v>108</v>
      </c>
      <c r="D32" s="16">
        <v>130</v>
      </c>
      <c r="E32" s="16">
        <v>5</v>
      </c>
      <c r="F32" s="16" t="s">
        <v>27</v>
      </c>
    </row>
    <row r="33" spans="1:6" x14ac:dyDescent="0.25">
      <c r="A33" s="17" t="s">
        <v>109</v>
      </c>
      <c r="B33" s="17" t="s">
        <v>110</v>
      </c>
      <c r="C33" s="17" t="s">
        <v>111</v>
      </c>
      <c r="D33" s="17">
        <v>50</v>
      </c>
      <c r="E33" s="17">
        <v>50</v>
      </c>
      <c r="F33" s="17" t="s">
        <v>31</v>
      </c>
    </row>
    <row r="34" spans="1:6" x14ac:dyDescent="0.25">
      <c r="A34" s="16" t="s">
        <v>59</v>
      </c>
      <c r="B34" s="16" t="s">
        <v>60</v>
      </c>
      <c r="C34" s="16" t="s">
        <v>61</v>
      </c>
      <c r="D34" s="16">
        <v>950</v>
      </c>
      <c r="E34" s="16">
        <v>25</v>
      </c>
      <c r="F34" s="16" t="s">
        <v>27</v>
      </c>
    </row>
    <row r="35" spans="1:6" x14ac:dyDescent="0.25">
      <c r="A35" s="17" t="s">
        <v>112</v>
      </c>
      <c r="B35" s="17" t="s">
        <v>113</v>
      </c>
      <c r="C35" s="17" t="s">
        <v>114</v>
      </c>
      <c r="D35" s="17">
        <v>100</v>
      </c>
      <c r="E35" s="17">
        <v>20</v>
      </c>
      <c r="F35" s="1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zoomScale="98" zoomScaleNormal="98" workbookViewId="0">
      <selection activeCell="L6" sqref="L6"/>
    </sheetView>
  </sheetViews>
  <sheetFormatPr defaultColWidth="12.6640625" defaultRowHeight="15" customHeight="1" x14ac:dyDescent="0.25"/>
  <cols>
    <col min="1" max="1" width="21.44140625" customWidth="1"/>
    <col min="2" max="2" width="21.109375" customWidth="1"/>
    <col min="3" max="3" width="12.6640625" customWidth="1"/>
    <col min="4" max="4" width="10.109375" style="8" customWidth="1"/>
    <col min="5" max="6" width="12.6640625" customWidth="1"/>
    <col min="8" max="8" width="17.5546875" customWidth="1"/>
    <col min="10" max="10" width="24.21875" customWidth="1"/>
  </cols>
  <sheetData>
    <row r="1" spans="1:15" ht="15.75" customHeight="1" x14ac:dyDescent="0.25">
      <c r="A1" s="9" t="s">
        <v>19</v>
      </c>
      <c r="B1" s="9" t="s">
        <v>20</v>
      </c>
      <c r="C1" s="9" t="s">
        <v>21</v>
      </c>
      <c r="D1" s="10" t="s">
        <v>116</v>
      </c>
      <c r="E1" s="9" t="s">
        <v>22</v>
      </c>
      <c r="F1" s="9" t="s">
        <v>23</v>
      </c>
      <c r="G1" s="18" t="s">
        <v>115</v>
      </c>
      <c r="H1" s="18" t="s">
        <v>118</v>
      </c>
      <c r="I1" s="18" t="s">
        <v>119</v>
      </c>
      <c r="J1" s="18" t="s">
        <v>120</v>
      </c>
    </row>
    <row r="2" spans="1:15" ht="15.75" customHeight="1" x14ac:dyDescent="0.25">
      <c r="A2" s="11" t="s">
        <v>121</v>
      </c>
      <c r="B2" s="11" t="s">
        <v>60</v>
      </c>
      <c r="C2" s="11" t="s">
        <v>26</v>
      </c>
      <c r="D2" s="12">
        <v>1000</v>
      </c>
      <c r="E2" s="11">
        <v>30</v>
      </c>
      <c r="F2" s="11" t="s">
        <v>27</v>
      </c>
      <c r="G2" s="13">
        <f>MEDIAN(D2:D35)</f>
        <v>130</v>
      </c>
      <c r="H2" s="13" t="str">
        <f>_xlfn.TEXTBEFORE(A2,"-", 3)</f>
        <v>28-JAN-2000</v>
      </c>
      <c r="I2" s="13" t="str">
        <f>_xlfn.TEXTAFTER(A2,"-",-1)</f>
        <v>US</v>
      </c>
      <c r="J2" s="13" t="str">
        <f>_xlfn.CONCAT(B2," ",C2)</f>
        <v>Laptop Dell</v>
      </c>
    </row>
    <row r="3" spans="1:15" ht="15.75" customHeight="1" x14ac:dyDescent="0.25">
      <c r="A3" s="14" t="s">
        <v>122</v>
      </c>
      <c r="B3" s="14" t="s">
        <v>29</v>
      </c>
      <c r="C3" s="14" t="s">
        <v>30</v>
      </c>
      <c r="D3" s="15">
        <v>80</v>
      </c>
      <c r="E3" s="14">
        <v>15</v>
      </c>
      <c r="F3" s="14" t="s">
        <v>31</v>
      </c>
      <c r="G3" s="13"/>
      <c r="H3" s="13" t="str">
        <f t="shared" ref="H3:H32" si="0">_xlfn.TEXTBEFORE(A3,"-", 3)</f>
        <v>15-FEB-2026</v>
      </c>
      <c r="I3" s="13" t="str">
        <f t="shared" ref="I3:I32" si="1">_xlfn.TEXTAFTER(A3,"-",-1)</f>
        <v>US</v>
      </c>
      <c r="J3" s="13" t="str">
        <f t="shared" ref="J3:J32" si="2">_xlfn.CONCAT(B3," ",C3)</f>
        <v>Sneakers Nike</v>
      </c>
      <c r="K3" s="5"/>
      <c r="L3" s="5"/>
      <c r="M3" s="5"/>
      <c r="N3" s="5"/>
      <c r="O3" s="5"/>
    </row>
    <row r="4" spans="1:15" ht="15.75" customHeight="1" x14ac:dyDescent="0.25">
      <c r="A4" s="11" t="s">
        <v>123</v>
      </c>
      <c r="B4" s="11" t="s">
        <v>33</v>
      </c>
      <c r="C4" s="11" t="s">
        <v>34</v>
      </c>
      <c r="D4" s="12">
        <v>130</v>
      </c>
      <c r="E4" s="11">
        <v>40</v>
      </c>
      <c r="F4" s="11" t="s">
        <v>35</v>
      </c>
      <c r="G4" s="13"/>
      <c r="H4" s="13" t="str">
        <f t="shared" si="0"/>
        <v>03-MAR-2025</v>
      </c>
      <c r="I4" s="13" t="str">
        <f t="shared" si="1"/>
        <v>US</v>
      </c>
      <c r="J4" s="13" t="str">
        <f t="shared" si="2"/>
        <v>Coffee Maker Keurig</v>
      </c>
      <c r="K4" s="5"/>
      <c r="L4" s="5"/>
      <c r="M4" s="5"/>
      <c r="N4" s="5"/>
      <c r="O4" s="5"/>
    </row>
    <row r="5" spans="1:15" ht="15.75" customHeight="1" x14ac:dyDescent="0.25">
      <c r="A5" s="14" t="s">
        <v>124</v>
      </c>
      <c r="B5" s="14" t="s">
        <v>95</v>
      </c>
      <c r="C5" s="14" t="s">
        <v>38</v>
      </c>
      <c r="D5" s="15">
        <v>900</v>
      </c>
      <c r="E5" s="14">
        <v>25</v>
      </c>
      <c r="F5" s="14" t="s">
        <v>27</v>
      </c>
      <c r="G5" s="13"/>
      <c r="H5" s="13" t="str">
        <f t="shared" si="0"/>
        <v>11-APR-2000</v>
      </c>
      <c r="I5" s="13" t="str">
        <f t="shared" si="1"/>
        <v>US</v>
      </c>
      <c r="J5" s="13" t="str">
        <f t="shared" si="2"/>
        <v>Smartphone Samsung</v>
      </c>
      <c r="K5" s="5"/>
      <c r="L5" s="5"/>
      <c r="M5" s="5"/>
      <c r="N5" s="5"/>
      <c r="O5" s="5"/>
    </row>
    <row r="6" spans="1:15" ht="15.75" customHeight="1" x14ac:dyDescent="0.25">
      <c r="A6" s="11" t="s">
        <v>125</v>
      </c>
      <c r="B6" s="11" t="s">
        <v>40</v>
      </c>
      <c r="C6" s="11" t="s">
        <v>41</v>
      </c>
      <c r="D6" s="12">
        <v>70</v>
      </c>
      <c r="E6" s="11">
        <v>20</v>
      </c>
      <c r="F6" s="11" t="s">
        <v>117</v>
      </c>
      <c r="G6" s="13"/>
      <c r="H6" s="13" t="str">
        <f t="shared" si="0"/>
        <v>22-MAY-1999</v>
      </c>
      <c r="I6" s="13" t="str">
        <f t="shared" si="1"/>
        <v>US</v>
      </c>
      <c r="J6" s="13" t="str">
        <f t="shared" si="2"/>
        <v>Backpack North Face</v>
      </c>
    </row>
    <row r="7" spans="1:15" ht="15.75" customHeight="1" x14ac:dyDescent="0.25">
      <c r="A7" s="14" t="s">
        <v>126</v>
      </c>
      <c r="B7" s="14" t="s">
        <v>43</v>
      </c>
      <c r="C7" s="14" t="s">
        <v>44</v>
      </c>
      <c r="D7" s="15">
        <v>130</v>
      </c>
      <c r="E7" s="14">
        <v>45</v>
      </c>
      <c r="F7" s="14" t="s">
        <v>27</v>
      </c>
      <c r="G7" s="13"/>
      <c r="H7" s="13" t="str">
        <f t="shared" si="0"/>
        <v>07-JUN-2000</v>
      </c>
      <c r="I7" s="13" t="str">
        <f t="shared" si="1"/>
        <v>UK</v>
      </c>
      <c r="J7" s="13" t="str">
        <f t="shared" si="2"/>
        <v>Headphones Sony</v>
      </c>
    </row>
    <row r="8" spans="1:15" ht="15.75" customHeight="1" x14ac:dyDescent="0.25">
      <c r="A8" s="11" t="s">
        <v>127</v>
      </c>
      <c r="B8" s="11" t="s">
        <v>47</v>
      </c>
      <c r="C8" s="11" t="s">
        <v>48</v>
      </c>
      <c r="D8" s="12">
        <v>30</v>
      </c>
      <c r="E8" s="11">
        <v>5</v>
      </c>
      <c r="F8" s="11" t="s">
        <v>31</v>
      </c>
      <c r="G8" s="13"/>
      <c r="H8" s="13" t="str">
        <f t="shared" si="0"/>
        <v>19-JUL-2000</v>
      </c>
      <c r="I8" s="13" t="str">
        <f t="shared" si="1"/>
        <v>UK</v>
      </c>
      <c r="J8" s="13" t="str">
        <f t="shared" si="2"/>
        <v>T-shirt Adidas</v>
      </c>
    </row>
    <row r="9" spans="1:15" ht="15.75" customHeight="1" x14ac:dyDescent="0.25">
      <c r="A9" s="14" t="s">
        <v>128</v>
      </c>
      <c r="B9" s="14" t="s">
        <v>50</v>
      </c>
      <c r="C9" s="14" t="s">
        <v>51</v>
      </c>
      <c r="D9" s="15">
        <v>90</v>
      </c>
      <c r="E9" s="14">
        <v>35</v>
      </c>
      <c r="F9" s="14" t="s">
        <v>35</v>
      </c>
      <c r="G9" s="13"/>
      <c r="H9" s="13" t="str">
        <f t="shared" si="0"/>
        <v>23-AUG-2000</v>
      </c>
      <c r="I9" s="13" t="str">
        <f t="shared" si="1"/>
        <v>UK</v>
      </c>
      <c r="J9" s="13" t="str">
        <f t="shared" si="2"/>
        <v>Blender Ninja</v>
      </c>
    </row>
    <row r="10" spans="1:15" ht="15.75" customHeight="1" x14ac:dyDescent="0.25">
      <c r="A10" s="11" t="s">
        <v>129</v>
      </c>
      <c r="B10" s="11" t="s">
        <v>53</v>
      </c>
      <c r="C10" s="11" t="s">
        <v>54</v>
      </c>
      <c r="D10" s="12">
        <v>500</v>
      </c>
      <c r="E10" s="11">
        <v>50</v>
      </c>
      <c r="F10" s="11" t="s">
        <v>27</v>
      </c>
      <c r="G10" s="13"/>
      <c r="H10" s="13" t="str">
        <f t="shared" si="0"/>
        <v>05-SEP-2000</v>
      </c>
      <c r="I10" s="13" t="str">
        <f t="shared" si="1"/>
        <v>UK</v>
      </c>
      <c r="J10" s="13" t="str">
        <f t="shared" si="2"/>
        <v>Tablet Apple</v>
      </c>
    </row>
    <row r="11" spans="1:15" ht="15.75" customHeight="1" x14ac:dyDescent="0.25">
      <c r="A11" s="14" t="s">
        <v>130</v>
      </c>
      <c r="B11" s="14" t="s">
        <v>56</v>
      </c>
      <c r="C11" s="14" t="s">
        <v>57</v>
      </c>
      <c r="D11" s="15">
        <v>130</v>
      </c>
      <c r="E11" s="14">
        <v>10</v>
      </c>
      <c r="F11" s="14" t="s">
        <v>58</v>
      </c>
      <c r="G11" s="13"/>
      <c r="H11" s="13" t="str">
        <f t="shared" si="0"/>
        <v>14-OCT-2000</v>
      </c>
      <c r="I11" s="13" t="str">
        <f t="shared" si="1"/>
        <v>UK</v>
      </c>
      <c r="J11" s="13" t="str">
        <f t="shared" si="2"/>
        <v>Hiking Boots Timberland</v>
      </c>
    </row>
    <row r="12" spans="1:15" ht="15.75" customHeight="1" x14ac:dyDescent="0.25">
      <c r="A12" s="11" t="s">
        <v>131</v>
      </c>
      <c r="B12" s="11" t="s">
        <v>60</v>
      </c>
      <c r="C12" s="11" t="s">
        <v>61</v>
      </c>
      <c r="D12" s="12">
        <v>950</v>
      </c>
      <c r="E12" s="11">
        <v>25</v>
      </c>
      <c r="F12" s="11" t="s">
        <v>27</v>
      </c>
      <c r="G12" s="13"/>
      <c r="H12" s="13" t="str">
        <f t="shared" si="0"/>
        <v>17-JUN-2000</v>
      </c>
      <c r="I12" s="13" t="str">
        <f t="shared" si="1"/>
        <v>IN</v>
      </c>
      <c r="J12" s="13" t="str">
        <f t="shared" si="2"/>
        <v>Laptop HP</v>
      </c>
    </row>
    <row r="13" spans="1:15" ht="15.75" customHeight="1" x14ac:dyDescent="0.25">
      <c r="A13" s="14" t="s">
        <v>132</v>
      </c>
      <c r="B13" s="14" t="s">
        <v>29</v>
      </c>
      <c r="C13" s="14" t="s">
        <v>48</v>
      </c>
      <c r="D13" s="15">
        <v>90</v>
      </c>
      <c r="E13" s="14">
        <v>40</v>
      </c>
      <c r="F13" s="14" t="s">
        <v>117</v>
      </c>
      <c r="G13" s="13"/>
      <c r="H13" s="13" t="str">
        <f t="shared" si="0"/>
        <v>25-NOV-2000</v>
      </c>
      <c r="I13" s="13" t="str">
        <f t="shared" si="1"/>
        <v>AU</v>
      </c>
      <c r="J13" s="13" t="str">
        <f t="shared" si="2"/>
        <v>Sneakers Adidas</v>
      </c>
    </row>
    <row r="14" spans="1:15" ht="15.75" customHeight="1" x14ac:dyDescent="0.25">
      <c r="A14" s="11" t="s">
        <v>133</v>
      </c>
      <c r="B14" s="11" t="s">
        <v>33</v>
      </c>
      <c r="C14" s="11" t="s">
        <v>64</v>
      </c>
      <c r="D14" s="12">
        <v>120</v>
      </c>
      <c r="E14" s="11">
        <v>35</v>
      </c>
      <c r="F14" s="11" t="s">
        <v>117</v>
      </c>
      <c r="G14" s="13"/>
      <c r="H14" s="13" t="str">
        <f t="shared" si="0"/>
        <v>08-DEC-2000</v>
      </c>
      <c r="I14" s="13" t="str">
        <f t="shared" si="1"/>
        <v>DE</v>
      </c>
      <c r="J14" s="13" t="str">
        <f t="shared" si="2"/>
        <v>Coffee Maker Nespresso</v>
      </c>
    </row>
    <row r="15" spans="1:15" ht="15.75" customHeight="1" x14ac:dyDescent="0.25">
      <c r="A15" s="14" t="s">
        <v>134</v>
      </c>
      <c r="B15" s="14" t="s">
        <v>66</v>
      </c>
      <c r="C15" s="14" t="s">
        <v>67</v>
      </c>
      <c r="D15" s="15">
        <v>150</v>
      </c>
      <c r="E15" s="14">
        <v>15</v>
      </c>
      <c r="F15" s="14" t="s">
        <v>27</v>
      </c>
      <c r="G15" s="13"/>
      <c r="H15" s="13" t="str">
        <f t="shared" si="0"/>
        <v>18-FEB-2000</v>
      </c>
      <c r="I15" s="13" t="str">
        <f t="shared" si="1"/>
        <v>CA</v>
      </c>
      <c r="J15" s="13" t="str">
        <f t="shared" si="2"/>
        <v>Smartwatch Fitbit</v>
      </c>
    </row>
    <row r="16" spans="1:15" ht="15.75" customHeight="1" x14ac:dyDescent="0.25">
      <c r="A16" s="11" t="s">
        <v>135</v>
      </c>
      <c r="B16" s="11" t="s">
        <v>43</v>
      </c>
      <c r="C16" s="11" t="s">
        <v>70</v>
      </c>
      <c r="D16" s="12">
        <v>250</v>
      </c>
      <c r="E16" s="11">
        <v>20</v>
      </c>
      <c r="F16" s="11" t="s">
        <v>27</v>
      </c>
      <c r="G16" s="13"/>
      <c r="H16" s="13" t="str">
        <f t="shared" si="0"/>
        <v>16-APR-2000</v>
      </c>
      <c r="I16" s="13" t="str">
        <f t="shared" si="1"/>
        <v>ES</v>
      </c>
      <c r="J16" s="13" t="str">
        <f t="shared" si="2"/>
        <v>Headphones Bose</v>
      </c>
    </row>
    <row r="17" spans="1:10" ht="15.75" customHeight="1" x14ac:dyDescent="0.25">
      <c r="A17" s="14" t="s">
        <v>136</v>
      </c>
      <c r="B17" s="14" t="s">
        <v>72</v>
      </c>
      <c r="C17" s="14" t="s">
        <v>73</v>
      </c>
      <c r="D17" s="15">
        <v>50</v>
      </c>
      <c r="E17" s="14">
        <v>35</v>
      </c>
      <c r="F17" s="14" t="s">
        <v>74</v>
      </c>
      <c r="G17" s="13"/>
      <c r="H17" s="13" t="str">
        <f t="shared" si="0"/>
        <v>21-AUG-2000</v>
      </c>
      <c r="I17" s="13" t="str">
        <f t="shared" si="1"/>
        <v>CA</v>
      </c>
      <c r="J17" s="13" t="str">
        <f t="shared" si="2"/>
        <v>Laptop Bag Samsonite</v>
      </c>
    </row>
    <row r="18" spans="1:10" ht="15.75" customHeight="1" x14ac:dyDescent="0.25">
      <c r="A18" s="11" t="s">
        <v>137</v>
      </c>
      <c r="B18" s="11" t="s">
        <v>66</v>
      </c>
      <c r="C18" s="11" t="s">
        <v>76</v>
      </c>
      <c r="D18" s="12">
        <v>160</v>
      </c>
      <c r="E18" s="11">
        <v>15</v>
      </c>
      <c r="F18" s="11" t="s">
        <v>27</v>
      </c>
      <c r="G18" s="13"/>
      <c r="H18" s="13" t="str">
        <f t="shared" si="0"/>
        <v>20-AUG-2000</v>
      </c>
      <c r="I18" s="13" t="str">
        <f t="shared" si="1"/>
        <v>CN</v>
      </c>
      <c r="J18" s="13" t="str">
        <f t="shared" si="2"/>
        <v>Smartwatch Huawei</v>
      </c>
    </row>
    <row r="19" spans="1:10" ht="15.75" customHeight="1" x14ac:dyDescent="0.25">
      <c r="A19" s="14" t="s">
        <v>138</v>
      </c>
      <c r="B19" s="14" t="s">
        <v>60</v>
      </c>
      <c r="C19" s="14" t="s">
        <v>78</v>
      </c>
      <c r="D19" s="15">
        <v>980</v>
      </c>
      <c r="E19" s="14">
        <v>10</v>
      </c>
      <c r="F19" s="14" t="s">
        <v>27</v>
      </c>
      <c r="G19" s="13"/>
      <c r="H19" s="13" t="str">
        <f t="shared" si="0"/>
        <v>27-JAN-2000</v>
      </c>
      <c r="I19" s="13" t="str">
        <f t="shared" si="1"/>
        <v>IT</v>
      </c>
      <c r="J19" s="13" t="str">
        <f t="shared" si="2"/>
        <v>Laptop Asus</v>
      </c>
    </row>
    <row r="20" spans="1:10" ht="15.75" customHeight="1" x14ac:dyDescent="0.25">
      <c r="A20" s="11" t="s">
        <v>139</v>
      </c>
      <c r="B20" s="11" t="s">
        <v>80</v>
      </c>
      <c r="C20" s="11" t="s">
        <v>81</v>
      </c>
      <c r="D20" s="12">
        <v>150</v>
      </c>
      <c r="E20" s="11">
        <v>15</v>
      </c>
      <c r="F20" s="11" t="s">
        <v>31</v>
      </c>
      <c r="G20" s="13"/>
      <c r="H20" s="13" t="str">
        <f t="shared" si="0"/>
        <v>01-MAR-2000</v>
      </c>
      <c r="I20" s="13" t="str">
        <f t="shared" si="1"/>
        <v>UK</v>
      </c>
      <c r="J20" s="13" t="str">
        <f t="shared" si="2"/>
        <v>Sunglasses Oakley</v>
      </c>
    </row>
    <row r="21" spans="1:10" ht="15.75" customHeight="1" x14ac:dyDescent="0.25">
      <c r="A21" s="14" t="s">
        <v>140</v>
      </c>
      <c r="B21" s="14" t="s">
        <v>83</v>
      </c>
      <c r="C21" s="14" t="s">
        <v>84</v>
      </c>
      <c r="D21" s="15">
        <v>130</v>
      </c>
      <c r="E21" s="14">
        <v>10</v>
      </c>
      <c r="F21" s="14" t="s">
        <v>58</v>
      </c>
      <c r="G21" s="13"/>
      <c r="H21" s="13" t="str">
        <f t="shared" si="0"/>
        <v>14-AUG-2000</v>
      </c>
      <c r="I21" s="13" t="str">
        <f t="shared" si="1"/>
        <v>US</v>
      </c>
      <c r="J21" s="13" t="str">
        <f t="shared" si="2"/>
        <v>Camping Tent Coleman</v>
      </c>
    </row>
    <row r="22" spans="1:10" ht="15.75" customHeight="1" x14ac:dyDescent="0.25">
      <c r="A22" s="11" t="s">
        <v>141</v>
      </c>
      <c r="B22" s="11" t="s">
        <v>86</v>
      </c>
      <c r="C22" s="11" t="s">
        <v>87</v>
      </c>
      <c r="D22" s="12">
        <v>700</v>
      </c>
      <c r="E22" s="11">
        <v>50</v>
      </c>
      <c r="F22" s="11" t="s">
        <v>27</v>
      </c>
      <c r="G22" s="13"/>
      <c r="H22" s="13" t="str">
        <f t="shared" si="0"/>
        <v>14-MAY-2000</v>
      </c>
      <c r="I22" s="13" t="str">
        <f t="shared" si="1"/>
        <v>RU</v>
      </c>
      <c r="J22" s="13" t="str">
        <f t="shared" si="2"/>
        <v>Camera Nikon</v>
      </c>
    </row>
    <row r="23" spans="1:10" ht="15.75" customHeight="1" x14ac:dyDescent="0.25">
      <c r="A23" s="14" t="s">
        <v>142</v>
      </c>
      <c r="B23" s="14" t="s">
        <v>89</v>
      </c>
      <c r="C23" s="14" t="s">
        <v>90</v>
      </c>
      <c r="D23" s="15">
        <v>80</v>
      </c>
      <c r="E23" s="14">
        <v>20</v>
      </c>
      <c r="F23" s="14" t="s">
        <v>35</v>
      </c>
      <c r="G23" s="13"/>
      <c r="H23" s="13" t="str">
        <f t="shared" si="0"/>
        <v>09-JAN-2000</v>
      </c>
      <c r="I23" s="13" t="str">
        <f t="shared" si="1"/>
        <v>CA</v>
      </c>
      <c r="J23" s="13" t="str">
        <f t="shared" si="2"/>
        <v>Microwave Panasonic</v>
      </c>
    </row>
    <row r="24" spans="1:10" ht="15.75" customHeight="1" x14ac:dyDescent="0.25">
      <c r="A24" s="11" t="s">
        <v>143</v>
      </c>
      <c r="B24" s="11" t="s">
        <v>92</v>
      </c>
      <c r="C24" s="11" t="s">
        <v>93</v>
      </c>
      <c r="D24" s="12">
        <v>150</v>
      </c>
      <c r="E24" s="11">
        <v>30</v>
      </c>
      <c r="F24" s="11" t="s">
        <v>117</v>
      </c>
      <c r="G24" s="13"/>
      <c r="H24" s="13" t="str">
        <f t="shared" si="0"/>
        <v>19-JUL-2000</v>
      </c>
      <c r="I24" s="13" t="str">
        <f t="shared" si="1"/>
        <v>BR</v>
      </c>
      <c r="J24" s="13" t="str">
        <f t="shared" si="2"/>
        <v>Fitness Tracker Xiaomi</v>
      </c>
    </row>
    <row r="25" spans="1:10" ht="15.75" customHeight="1" x14ac:dyDescent="0.25">
      <c r="A25" s="11" t="s">
        <v>144</v>
      </c>
      <c r="B25" s="11" t="s">
        <v>95</v>
      </c>
      <c r="C25" s="11" t="s">
        <v>96</v>
      </c>
      <c r="D25" s="12">
        <v>800</v>
      </c>
      <c r="E25" s="11">
        <v>45</v>
      </c>
      <c r="F25" s="11" t="s">
        <v>27</v>
      </c>
      <c r="G25" s="13"/>
      <c r="H25" s="13" t="str">
        <f t="shared" si="0"/>
        <v>29-SEP-2000</v>
      </c>
      <c r="I25" s="13" t="str">
        <f t="shared" si="1"/>
        <v>CA</v>
      </c>
      <c r="J25" s="13" t="str">
        <f t="shared" si="2"/>
        <v>Smartphone Google</v>
      </c>
    </row>
    <row r="26" spans="1:10" ht="15.75" customHeight="1" x14ac:dyDescent="0.25">
      <c r="A26" s="14" t="s">
        <v>145</v>
      </c>
      <c r="B26" s="14" t="s">
        <v>80</v>
      </c>
      <c r="C26" s="14" t="s">
        <v>98</v>
      </c>
      <c r="D26" s="15">
        <v>130</v>
      </c>
      <c r="E26" s="14">
        <v>25</v>
      </c>
      <c r="F26" s="14" t="s">
        <v>31</v>
      </c>
      <c r="G26" s="13"/>
      <c r="H26" s="13" t="str">
        <f t="shared" si="0"/>
        <v>03-JUN-2000</v>
      </c>
      <c r="I26" s="13" t="str">
        <f t="shared" si="1"/>
        <v>CA</v>
      </c>
      <c r="J26" s="13" t="str">
        <f t="shared" si="2"/>
        <v>Sunglasses Ray-Ban</v>
      </c>
    </row>
    <row r="27" spans="1:10" ht="15.75" customHeight="1" x14ac:dyDescent="0.25">
      <c r="A27" s="11" t="s">
        <v>146</v>
      </c>
      <c r="B27" s="11" t="s">
        <v>50</v>
      </c>
      <c r="C27" s="11" t="s">
        <v>100</v>
      </c>
      <c r="D27" s="12">
        <v>400</v>
      </c>
      <c r="E27" s="11">
        <v>40</v>
      </c>
      <c r="F27" s="11" t="s">
        <v>35</v>
      </c>
      <c r="G27" s="13"/>
      <c r="H27" s="13" t="str">
        <f t="shared" si="0"/>
        <v>11-JUL-2026</v>
      </c>
      <c r="I27" s="13" t="str">
        <f t="shared" si="1"/>
        <v>CA</v>
      </c>
      <c r="J27" s="13" t="str">
        <f t="shared" si="2"/>
        <v>Blender Vitamix</v>
      </c>
    </row>
    <row r="28" spans="1:10" ht="15.75" customHeight="1" x14ac:dyDescent="0.25">
      <c r="A28" s="11" t="s">
        <v>147</v>
      </c>
      <c r="B28" s="11" t="s">
        <v>102</v>
      </c>
      <c r="C28" s="11" t="s">
        <v>103</v>
      </c>
      <c r="D28" s="12">
        <v>60</v>
      </c>
      <c r="E28" s="11">
        <v>30</v>
      </c>
      <c r="F28" s="11" t="s">
        <v>31</v>
      </c>
      <c r="G28" s="13"/>
      <c r="H28" s="13" t="str">
        <f t="shared" si="0"/>
        <v>07-MAR-2013</v>
      </c>
      <c r="I28" s="13" t="str">
        <f t="shared" si="1"/>
        <v>CA</v>
      </c>
      <c r="J28" s="13" t="str">
        <f t="shared" si="2"/>
        <v>Dress Zara</v>
      </c>
    </row>
    <row r="29" spans="1:10" ht="15.75" customHeight="1" x14ac:dyDescent="0.25">
      <c r="A29" s="14" t="s">
        <v>148</v>
      </c>
      <c r="B29" s="14" t="s">
        <v>105</v>
      </c>
      <c r="C29" s="14" t="s">
        <v>106</v>
      </c>
      <c r="D29" s="15">
        <v>40</v>
      </c>
      <c r="E29" s="14">
        <v>10</v>
      </c>
      <c r="F29" s="14" t="s">
        <v>35</v>
      </c>
      <c r="G29" s="13"/>
      <c r="H29" s="13" t="str">
        <f t="shared" si="0"/>
        <v>13-APR-2025</v>
      </c>
      <c r="I29" s="13" t="str">
        <f t="shared" si="1"/>
        <v>CA</v>
      </c>
      <c r="J29" s="13" t="str">
        <f t="shared" si="2"/>
        <v>Toaster Hamilton</v>
      </c>
    </row>
    <row r="30" spans="1:10" ht="15.75" customHeight="1" x14ac:dyDescent="0.25">
      <c r="A30" s="11" t="s">
        <v>149</v>
      </c>
      <c r="B30" s="11" t="s">
        <v>92</v>
      </c>
      <c r="C30" s="11" t="s">
        <v>108</v>
      </c>
      <c r="D30" s="12">
        <v>130</v>
      </c>
      <c r="E30" s="11">
        <v>5</v>
      </c>
      <c r="F30" s="11" t="s">
        <v>27</v>
      </c>
      <c r="G30" s="13"/>
      <c r="H30" s="13" t="str">
        <f t="shared" si="0"/>
        <v>24-MAY-2019</v>
      </c>
      <c r="I30" s="13" t="str">
        <f t="shared" si="1"/>
        <v>CA</v>
      </c>
      <c r="J30" s="13" t="str">
        <f t="shared" si="2"/>
        <v>Fitness Tracker Garmin</v>
      </c>
    </row>
    <row r="31" spans="1:10" ht="15.75" customHeight="1" x14ac:dyDescent="0.25">
      <c r="A31" s="14" t="s">
        <v>150</v>
      </c>
      <c r="B31" s="14" t="s">
        <v>110</v>
      </c>
      <c r="C31" s="14" t="s">
        <v>111</v>
      </c>
      <c r="D31" s="15">
        <v>50</v>
      </c>
      <c r="E31" s="14">
        <v>50</v>
      </c>
      <c r="F31" s="14" t="s">
        <v>31</v>
      </c>
      <c r="G31" s="13"/>
      <c r="H31" s="13" t="str">
        <f t="shared" si="0"/>
        <v>02-DEC-2015</v>
      </c>
      <c r="I31" s="13" t="str">
        <f t="shared" si="1"/>
        <v>CA</v>
      </c>
      <c r="J31" s="13" t="str">
        <f t="shared" si="2"/>
        <v>Jeans Levi's</v>
      </c>
    </row>
    <row r="32" spans="1:10" ht="15.75" customHeight="1" x14ac:dyDescent="0.25">
      <c r="A32" s="14" t="s">
        <v>151</v>
      </c>
      <c r="B32" s="14" t="s">
        <v>113</v>
      </c>
      <c r="C32" s="14" t="s">
        <v>114</v>
      </c>
      <c r="D32" s="15">
        <v>100</v>
      </c>
      <c r="E32" s="14">
        <v>20</v>
      </c>
      <c r="F32" s="14" t="s">
        <v>74</v>
      </c>
      <c r="G32" s="13"/>
      <c r="H32" s="13" t="str">
        <f t="shared" si="0"/>
        <v>09-JUL-2030</v>
      </c>
      <c r="I32" s="13" t="str">
        <f t="shared" si="1"/>
        <v>FR</v>
      </c>
      <c r="J32" s="13" t="str">
        <f t="shared" si="2"/>
        <v>Watch 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1:D32">
    <cfRule type="containsBlanks" priority="5">
      <formula>LEN(TRIM(D1))=0</formula>
    </cfRule>
    <cfRule type="containsBlanks" dxfId="3" priority="6">
      <formula>LEN(TRIM(D1))=0</formula>
    </cfRule>
  </conditionalFormatting>
  <conditionalFormatting sqref="D1:D1048576">
    <cfRule type="dataBar" priority="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{5E834B75-D234-49A3-BFCB-48BA14EEFC63}</x14:id>
        </ext>
      </extLst>
    </cfRule>
  </conditionalFormatting>
  <conditionalFormatting sqref="F1:F32">
    <cfRule type="cellIs" dxfId="0" priority="1" operator="equal">
      <formula>$F$2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834B75-D234-49A3-BFCB-48BA14EEFC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set</vt:lpstr>
      <vt:lpstr>Dataset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Family</cp:lastModifiedBy>
  <dcterms:modified xsi:type="dcterms:W3CDTF">2026-09-21T17:15:53Z</dcterms:modified>
</cp:coreProperties>
</file>